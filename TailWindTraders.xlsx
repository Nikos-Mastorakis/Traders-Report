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ower Bi Final\Power_BI_Projects\"/>
    </mc:Choice>
  </mc:AlternateContent>
  <xr:revisionPtr revIDLastSave="0" documentId="13_ncr:1_{7674617C-2CA4-4D96-8298-34BA035551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7" i="1" l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56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<sst xmlns="http://schemas.openxmlformats.org/spreadsheetml/2006/main" count="1224" uniqueCount="545">
  <si>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</si>
  <si>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</si>
  <si>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</si>
  <si>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</si>
  <si>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</si>
  <si>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</si>
  <si>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</si>
  <si>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</si>
  <si>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</si>
  <si>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</si>
  <si>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</si>
  <si>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</si>
  <si>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</si>
  <si>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</si>
  <si>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</si>
  <si>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</si>
  <si>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</si>
  <si>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</si>
  <si>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</si>
  <si>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</si>
  <si>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</si>
  <si>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</si>
  <si>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</si>
  <si>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</si>
  <si>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</si>
  <si>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</si>
  <si>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</si>
  <si>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</si>
  <si>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</si>
  <si>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</si>
  <si>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</si>
  <si>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</si>
  <si>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</si>
  <si>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</si>
  <si>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</si>
  <si>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</si>
  <si>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</si>
  <si>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</si>
  <si>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</si>
  <si>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</si>
  <si>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</si>
  <si>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</si>
  <si>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</si>
  <si>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</si>
  <si>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</si>
  <si>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</si>
  <si>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</si>
  <si>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</si>
  <si>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</si>
  <si>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</si>
  <si>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</si>
  <si>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</si>
  <si>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</si>
  <si>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</si>
  <si>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</si>
  <si>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</si>
  <si>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</si>
  <si>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</si>
  <si>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</si>
  <si>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</si>
  <si>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</si>
  <si>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</si>
  <si>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</si>
  <si>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</si>
  <si>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</si>
  <si>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</si>
  <si>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</si>
  <si>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</si>
  <si>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</si>
  <si>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</si>
  <si>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</si>
  <si>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</si>
  <si>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</si>
  <si>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</si>
  <si>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</si>
  <si>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</si>
  <si>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</si>
  <si>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</si>
  <si>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</si>
  <si>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</si>
  <si>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</si>
  <si>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</si>
  <si>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</si>
  <si>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</si>
  <si>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</si>
  <si>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</si>
  <si>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</si>
  <si>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</si>
  <si>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</si>
  <si>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</si>
  <si>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</si>
  <si>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</si>
  <si>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</si>
  <si>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</si>
  <si>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</si>
  <si>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</si>
  <si>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</si>
  <si>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</si>
  <si>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</si>
  <si>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</si>
  <si>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</si>
  <si>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</si>
  <si>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</si>
  <si>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</si>
  <si>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</si>
  <si>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</si>
  <si>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</si>
  <si>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</si>
  <si>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</si>
  <si>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</si>
  <si>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</si>
  <si>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</si>
  <si>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</si>
  <si>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</si>
  <si>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</si>
  <si>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</si>
  <si>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</si>
  <si>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</si>
  <si>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</si>
  <si>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</si>
  <si>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</si>
  <si>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</si>
  <si>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</si>
  <si>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</si>
  <si>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</si>
  <si>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</si>
  <si>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</si>
  <si>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</si>
  <si>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</si>
  <si>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</si>
  <si>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</si>
  <si>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</si>
  <si>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</si>
  <si>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</si>
  <si>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</si>
  <si>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</si>
  <si>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</si>
  <si>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</si>
  <si>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</si>
  <si>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</si>
  <si>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</si>
  <si>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</si>
  <si>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</si>
  <si>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</si>
  <si>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</si>
  <si>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</si>
  <si>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</si>
  <si>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</si>
  <si>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</si>
  <si>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</si>
  <si>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</si>
  <si>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</si>
  <si>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</si>
  <si>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</si>
  <si>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</si>
  <si>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</si>
  <si>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</si>
  <si>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</si>
  <si>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</si>
  <si>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</si>
  <si>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</si>
  <si>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</si>
  <si>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</si>
  <si>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</si>
  <si>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</si>
  <si>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</si>
  <si>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</si>
  <si>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</si>
  <si>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</si>
  <si>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</si>
  <si>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</si>
  <si>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</si>
  <si>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</si>
  <si>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</si>
  <si>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</si>
  <si>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</si>
  <si>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</si>
  <si>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</si>
  <si>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</si>
  <si>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</si>
  <si>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</si>
  <si>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</si>
  <si>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</si>
  <si>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</si>
  <si>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</si>
  <si>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</si>
  <si>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</si>
  <si>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</si>
  <si>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</si>
  <si>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</si>
  <si>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</si>
  <si>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</si>
  <si>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</si>
  <si>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</si>
  <si>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</si>
  <si>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</si>
  <si>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</si>
  <si>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</si>
  <si>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</si>
  <si>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</si>
  <si>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</si>
  <si>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</si>
  <si>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</si>
  <si>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</si>
  <si>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</si>
  <si>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</si>
  <si>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</si>
  <si>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</si>
  <si>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</si>
  <si>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</si>
  <si>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</si>
  <si>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</si>
  <si>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</si>
  <si>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</si>
  <si>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</si>
  <si>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</si>
  <si>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</si>
  <si>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</si>
  <si>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</si>
  <si>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</si>
  <si>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</si>
  <si>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</si>
  <si>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</si>
  <si>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</si>
  <si>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</si>
  <si>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</si>
  <si>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</si>
  <si>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</si>
  <si>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</si>
  <si>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</si>
  <si>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</si>
  <si>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</si>
  <si>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</si>
  <si>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</si>
  <si>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</si>
  <si>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</si>
  <si>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</si>
  <si>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</si>
  <si>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</si>
  <si>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</si>
  <si>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</si>
  <si>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</si>
  <si>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</si>
  <si>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</si>
  <si>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</si>
  <si>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</si>
  <si>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</si>
  <si>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</si>
  <si>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</si>
  <si>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</si>
  <si>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</si>
  <si>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</si>
  <si>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</si>
  <si>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</si>
  <si>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</si>
  <si>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</si>
  <si>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</si>
  <si>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</si>
  <si>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</si>
  <si>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</si>
  <si>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</si>
  <si>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</si>
  <si>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</si>
  <si>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</si>
  <si>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</si>
  <si>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</si>
  <si>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</si>
  <si>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</si>
  <si>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</si>
  <si>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</si>
  <si>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</si>
  <si>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</si>
  <si>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</si>
  <si>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</si>
  <si>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</si>
  <si>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</si>
  <si>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</si>
  <si>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</si>
  <si>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</si>
  <si>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</si>
  <si>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</si>
  <si>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</si>
  <si>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</si>
  <si>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</si>
  <si>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</si>
  <si>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</si>
  <si>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</si>
  <si>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</si>
  <si>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</si>
  <si>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</si>
  <si>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</si>
  <si>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</si>
  <si>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</si>
  <si>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</si>
  <si>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</si>
  <si>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</si>
  <si>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</si>
  <si>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</si>
  <si>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</si>
  <si>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</si>
  <si>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</si>
  <si>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</si>
  <si>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</si>
  <si>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</si>
  <si>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</si>
  <si>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</si>
  <si>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</si>
  <si>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</si>
  <si>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</si>
  <si>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</si>
  <si>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</si>
  <si>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</si>
  <si>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</si>
  <si>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</si>
  <si>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</si>
  <si>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</si>
  <si>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</si>
  <si>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</si>
  <si>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</si>
  <si>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</si>
  <si>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</si>
  <si>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</si>
  <si>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</si>
  <si>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</si>
  <si>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</si>
  <si>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</si>
  <si>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</si>
  <si>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</si>
  <si>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</si>
  <si>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</si>
  <si>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</si>
  <si>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</si>
  <si>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</si>
  <si>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</si>
  <si>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</si>
  <si>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</si>
  <si>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</si>
  <si>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</si>
  <si>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</si>
  <si>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</si>
  <si>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</si>
  <si>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</si>
  <si>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</si>
  <si>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</si>
  <si>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</si>
  <si>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</si>
  <si>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</si>
  <si>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</si>
  <si>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</si>
  <si>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</si>
  <si>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</si>
  <si>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</si>
  <si>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</si>
  <si>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</si>
  <si>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</si>
  <si>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</si>
  <si>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</si>
  <si>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</si>
  <si>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</si>
  <si>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</si>
  <si>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</si>
  <si>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</si>
  <si>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</si>
  <si>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</si>
  <si>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</si>
  <si>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</si>
  <si>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</si>
  <si>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</si>
  <si>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</si>
  <si>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</si>
  <si>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</si>
  <si>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</si>
  <si>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</si>
  <si>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</si>
  <si>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</si>
  <si>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</si>
  <si>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</si>
  <si>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</si>
  <si>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</si>
  <si>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</si>
  <si>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</si>
  <si>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</si>
  <si>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</si>
  <si>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</si>
  <si>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</si>
  <si>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</si>
  <si>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</si>
  <si>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</si>
  <si>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</si>
  <si>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</si>
  <si>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</si>
  <si>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</si>
  <si>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</si>
  <si>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</si>
  <si>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</si>
  <si>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</si>
  <si>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</si>
  <si>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</si>
  <si>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</si>
  <si>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</si>
  <si>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</si>
  <si>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</si>
  <si>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</si>
  <si>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</si>
  <si>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</si>
  <si>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</si>
  <si>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</si>
  <si>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</si>
  <si>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</si>
  <si>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</si>
  <si>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</si>
  <si>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</si>
  <si>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</si>
  <si>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</si>
  <si>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</si>
  <si>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</si>
  <si>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</si>
  <si>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</si>
  <si>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</si>
  <si>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</si>
  <si>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</si>
  <si>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</si>
  <si>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</si>
  <si>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</si>
  <si>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</si>
  <si>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</si>
  <si>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</si>
  <si>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</si>
  <si>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</si>
  <si>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</si>
  <si>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</si>
  <si>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</si>
  <si>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</si>
  <si>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</si>
  <si>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</si>
  <si>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</si>
  <si>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</si>
  <si>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</si>
  <si>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</si>
  <si>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</si>
  <si>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</si>
  <si>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</si>
  <si>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</si>
  <si>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</si>
  <si>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</si>
  <si>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</si>
  <si>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</si>
  <si>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</si>
  <si>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</si>
  <si>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</si>
  <si>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</si>
  <si>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</si>
  <si>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</si>
  <si>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</si>
  <si>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</si>
  <si>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</si>
  <si>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</si>
  <si>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</si>
  <si>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</si>
  <si>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</si>
  <si>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</si>
  <si>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</si>
  <si>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</si>
  <si>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</si>
  <si>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</si>
  <si>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 xml:space="preserve"> TWO-039</t>
  </si>
  <si>
    <t xml:space="preserve"> TWB-040</t>
  </si>
  <si>
    <t xml:space="preserve"> TWT-041</t>
  </si>
  <si>
    <t xml:space="preserve"> TWF-042</t>
  </si>
  <si>
    <t xml:space="preserve"> TWB-043</t>
  </si>
  <si>
    <t xml:space="preserve"> TWH-044</t>
  </si>
  <si>
    <t xml:space="preserve"> TWT-045</t>
  </si>
  <si>
    <t xml:space="preserve"> TWS-046</t>
  </si>
  <si>
    <t xml:space="preserve"> TWT-047</t>
  </si>
  <si>
    <t xml:space="preserve"> TWH-048</t>
  </si>
  <si>
    <t xml:space="preserve"> TWF-049</t>
  </si>
  <si>
    <t xml:space="preserve"> TWK-051</t>
  </si>
  <si>
    <t xml:space="preserve"> TWK-052</t>
  </si>
  <si>
    <t xml:space="preserve"> TWT-053</t>
  </si>
  <si>
    <t xml:space="preserve"> TWG-054</t>
  </si>
  <si>
    <t xml:space="preserve"> TWH-055</t>
  </si>
  <si>
    <t xml:space="preserve"> TWK-056</t>
  </si>
  <si>
    <t xml:space="preserve"> TWA-057</t>
  </si>
  <si>
    <t xml:space="preserve"> TWF-058</t>
  </si>
  <si>
    <t xml:space="preserve"> TWT-059</t>
  </si>
  <si>
    <t xml:space="preserve"> TWM-060</t>
  </si>
  <si>
    <t xml:space="preserve"> TWK-061</t>
  </si>
  <si>
    <t xml:space="preserve"> TWF-062</t>
  </si>
  <si>
    <t xml:space="preserve"> TWH-063</t>
  </si>
  <si>
    <t xml:space="preserve"> TWT-064</t>
  </si>
  <si>
    <t xml:space="preserve"> TWS-065</t>
  </si>
  <si>
    <t xml:space="preserve"> TWT-066</t>
  </si>
  <si>
    <t xml:space="preserve"> TWK-067</t>
  </si>
  <si>
    <t xml:space="preserve"> TWS-068</t>
  </si>
  <si>
    <t xml:space="preserve"> TWO-069</t>
  </si>
  <si>
    <t xml:space="preserve"> TWFO-070</t>
  </si>
  <si>
    <t xml:space="preserve"> TWT-071</t>
  </si>
  <si>
    <t xml:space="preserve"> TWH-072</t>
  </si>
  <si>
    <t xml:space="preserve"> TWFO-073</t>
  </si>
  <si>
    <t xml:space="preserve"> TWO-074</t>
  </si>
  <si>
    <t xml:space="preserve"> TWK-075</t>
  </si>
  <si>
    <t xml:space="preserve"> TWF-076</t>
  </si>
  <si>
    <t xml:space="preserve"> TWK-077</t>
  </si>
  <si>
    <t xml:space="preserve"> TWS-078</t>
  </si>
  <si>
    <t xml:space="preserve"> C079</t>
  </si>
  <si>
    <t xml:space="preserve"> C080</t>
  </si>
  <si>
    <t xml:space="preserve"> C081</t>
  </si>
  <si>
    <t xml:space="preserve"> C082</t>
  </si>
  <si>
    <t xml:space="preserve"> C083</t>
  </si>
  <si>
    <t xml:space="preserve"> C084</t>
  </si>
  <si>
    <t xml:space="preserve"> C085</t>
  </si>
  <si>
    <t xml:space="preserve"> C086</t>
  </si>
  <si>
    <t xml:space="preserve"> C087</t>
  </si>
  <si>
    <t xml:space="preserve"> C088</t>
  </si>
  <si>
    <t xml:space="preserve"> C089</t>
  </si>
  <si>
    <t xml:space="preserve"> C090</t>
  </si>
  <si>
    <t xml:space="preserve"> C091</t>
  </si>
  <si>
    <t xml:space="preserve"> C092</t>
  </si>
  <si>
    <t xml:space="preserve"> C093</t>
  </si>
  <si>
    <t xml:space="preserve"> C094</t>
  </si>
  <si>
    <t xml:space="preserve"> C095</t>
  </si>
  <si>
    <t xml:space="preserve"> C096</t>
  </si>
  <si>
    <t xml:space="preserve"> C097</t>
  </si>
  <si>
    <t xml:space="preserve"> C098</t>
  </si>
  <si>
    <t xml:space="preserve"> C099</t>
  </si>
  <si>
    <t xml:space="preserve"> C100</t>
  </si>
  <si>
    <t xml:space="preserve"> C101</t>
  </si>
  <si>
    <t xml:space="preserve"> C102</t>
  </si>
  <si>
    <t xml:space="preserve"> C103</t>
  </si>
  <si>
    <t xml:space="preserve"> C104</t>
  </si>
  <si>
    <t xml:space="preserve"> C105</t>
  </si>
  <si>
    <t xml:space="preserve"> C106</t>
  </si>
  <si>
    <t xml:space="preserve"> C107</t>
  </si>
  <si>
    <t xml:space="preserve"> C108</t>
  </si>
  <si>
    <t xml:space="preserve"> C109</t>
  </si>
  <si>
    <t xml:space="preserve"> C110</t>
  </si>
  <si>
    <t xml:space="preserve"> C111</t>
  </si>
  <si>
    <t xml:space="preserve"> C112</t>
  </si>
  <si>
    <t xml:space="preserve"> C113</t>
  </si>
  <si>
    <t xml:space="preserve"> C114</t>
  </si>
  <si>
    <t xml:space="preserve"> C115</t>
  </si>
  <si>
    <t xml:space="preserve"> C116</t>
  </si>
  <si>
    <t xml:space="preserve"> C117</t>
  </si>
  <si>
    <t xml:space="preserve"> 100-0005</t>
  </si>
  <si>
    <t xml:space="preserve"> K1A 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</si>
</sst>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tabSelected="1" topLeftCell="A68" zoomScale="90" zoomScaleNormal="90" workbookViewId="0">
      <selection activeCell="G100" sqref="G100"/>
    </sheetView>
  </sheetViews>
  <sheetFormatPr defaultRowHeight="15" x14ac:dyDescent="0.25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1.42578125" customWidth="1"/>
    <col min="7" max="10" width="21.28515625" customWidth="1"/>
    <col min="13" max="13" width="10.85546875" style="1" customWidth="1"/>
    <col min="18" max="18" width="12.85546875" customWidth="1"/>
    <col min="21" max="21" width="13.5703125" customWidth="1"/>
  </cols>
  <sheetData>
    <row r="1" spans="1:25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66" si="0">E3*G3</f>
        <v>105</v>
      </c>
      <c r="I3">
        <f t="shared" ref="I3:I66" si="1">F3*G3</f>
        <v>7.3500000000000005</v>
      </c>
      <c r="J3">
        <f t="shared" ref="J3:J66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  <row r="56" spans="1:25" x14ac:dyDescent="0.25">
      <c r="A56">
        <f>A55+1</f>
        <v>1079</v>
      </c>
      <c r="B56" t="s">
        <v>57</v>
      </c>
      <c r="C56" t="s">
        <v>342</v>
      </c>
      <c r="D56" t="s">
        <v>367</v>
      </c>
      <c r="E56">
        <v>88</v>
      </c>
      <c r="F56">
        <v>8.0500000000000007</v>
      </c>
      <c r="G56">
        <v>3</v>
      </c>
      <c r="H56">
        <f t="shared" si="0"/>
        <v>264</v>
      </c>
      <c r="I56">
        <f t="shared" si="1"/>
        <v>24.150000000000002</v>
      </c>
      <c r="J56">
        <f t="shared" si="2"/>
        <v>239.85</v>
      </c>
      <c r="K56" t="s">
        <v>378</v>
      </c>
      <c r="L56" t="s">
        <v>465</v>
      </c>
      <c r="M56" s="1" t="s">
        <v>439</v>
      </c>
      <c r="N56" t="s">
        <v>36</v>
      </c>
      <c r="O56" t="s">
        <v>27</v>
      </c>
      <c r="P56" t="s">
        <v>28</v>
      </c>
      <c r="Q56">
        <v>225</v>
      </c>
      <c r="R56">
        <v>3</v>
      </c>
      <c r="S56" t="s">
        <v>61</v>
      </c>
      <c r="T56" t="s">
        <v>504</v>
      </c>
      <c r="U56" t="s">
        <v>63</v>
      </c>
      <c r="V56" t="s">
        <v>543</v>
      </c>
      <c r="W56">
        <v>1112222</v>
      </c>
      <c r="X56" t="s">
        <v>125</v>
      </c>
      <c r="Y56">
        <v>18</v>
      </c>
    </row>
    <row r="57" spans="1:25" x14ac:dyDescent="0.25">
      <c r="A57">
        <f t="shared" ref="A57:A94" si="3">A56+1</f>
        <v>1080</v>
      </c>
      <c r="B57" t="s">
        <v>65</v>
      </c>
      <c r="C57" t="s">
        <v>344</v>
      </c>
      <c r="D57" t="s">
        <v>369</v>
      </c>
      <c r="E57">
        <v>210</v>
      </c>
      <c r="F57">
        <v>3.22</v>
      </c>
      <c r="G57">
        <v>2</v>
      </c>
      <c r="H57">
        <f t="shared" si="0"/>
        <v>420</v>
      </c>
      <c r="I57">
        <f t="shared" si="1"/>
        <v>6.44</v>
      </c>
      <c r="J57">
        <f t="shared" si="2"/>
        <v>413.56</v>
      </c>
      <c r="K57" t="s">
        <v>312</v>
      </c>
      <c r="L57" t="s">
        <v>466</v>
      </c>
      <c r="M57" s="1" t="s">
        <v>440</v>
      </c>
      <c r="N57" t="s">
        <v>17</v>
      </c>
      <c r="O57" t="s">
        <v>37</v>
      </c>
      <c r="P57" t="s">
        <v>73</v>
      </c>
      <c r="Q57">
        <v>310</v>
      </c>
      <c r="R57">
        <v>1</v>
      </c>
      <c r="S57" t="s">
        <v>20</v>
      </c>
      <c r="T57" t="s">
        <v>505</v>
      </c>
      <c r="U57" t="s">
        <v>69</v>
      </c>
      <c r="V57">
        <v>2001</v>
      </c>
      <c r="W57">
        <v>2223333</v>
      </c>
      <c r="X57" t="s">
        <v>130</v>
      </c>
      <c r="Y57">
        <v>40</v>
      </c>
    </row>
    <row r="58" spans="1:25" x14ac:dyDescent="0.25">
      <c r="A58">
        <f t="shared" si="3"/>
        <v>1081</v>
      </c>
      <c r="B58" t="s">
        <v>71</v>
      </c>
      <c r="C58" t="s">
        <v>347</v>
      </c>
      <c r="D58" t="s">
        <v>371</v>
      </c>
      <c r="E58">
        <v>70</v>
      </c>
      <c r="F58">
        <v>20.3</v>
      </c>
      <c r="G58">
        <v>1</v>
      </c>
      <c r="H58">
        <f t="shared" si="0"/>
        <v>70</v>
      </c>
      <c r="I58">
        <f t="shared" si="1"/>
        <v>20.3</v>
      </c>
      <c r="J58">
        <f t="shared" si="2"/>
        <v>49.7</v>
      </c>
      <c r="K58" t="s">
        <v>345</v>
      </c>
      <c r="L58" t="s">
        <v>467</v>
      </c>
      <c r="M58" s="1" t="s">
        <v>441</v>
      </c>
      <c r="N58" t="s">
        <v>52</v>
      </c>
      <c r="O58" t="s">
        <v>44</v>
      </c>
      <c r="P58" t="s">
        <v>19</v>
      </c>
      <c r="Q58">
        <v>275</v>
      </c>
      <c r="R58">
        <v>4</v>
      </c>
      <c r="S58" t="s">
        <v>46</v>
      </c>
      <c r="T58" t="s">
        <v>506</v>
      </c>
      <c r="U58" t="s">
        <v>75</v>
      </c>
      <c r="V58" t="s">
        <v>544</v>
      </c>
      <c r="W58">
        <v>3334444</v>
      </c>
      <c r="X58" t="s">
        <v>135</v>
      </c>
      <c r="Y58">
        <v>42</v>
      </c>
    </row>
    <row r="59" spans="1:25" x14ac:dyDescent="0.25">
      <c r="A59">
        <f t="shared" si="3"/>
        <v>1082</v>
      </c>
      <c r="B59" t="s">
        <v>78</v>
      </c>
      <c r="C59" t="s">
        <v>349</v>
      </c>
      <c r="D59" t="s">
        <v>374</v>
      </c>
      <c r="E59">
        <v>120</v>
      </c>
      <c r="F59">
        <v>1.54</v>
      </c>
      <c r="G59">
        <v>2</v>
      </c>
      <c r="H59">
        <f t="shared" si="0"/>
        <v>240</v>
      </c>
      <c r="I59">
        <f t="shared" si="1"/>
        <v>3.08</v>
      </c>
      <c r="J59">
        <f t="shared" si="2"/>
        <v>236.92</v>
      </c>
      <c r="K59" t="s">
        <v>323</v>
      </c>
      <c r="L59" t="s">
        <v>468</v>
      </c>
      <c r="M59" s="1" t="s">
        <v>442</v>
      </c>
      <c r="N59" t="s">
        <v>59</v>
      </c>
      <c r="O59" t="s">
        <v>18</v>
      </c>
      <c r="P59" t="s">
        <v>53</v>
      </c>
      <c r="Q59">
        <v>190</v>
      </c>
      <c r="R59">
        <v>5</v>
      </c>
      <c r="S59" t="s">
        <v>61</v>
      </c>
      <c r="T59" t="s">
        <v>507</v>
      </c>
      <c r="U59" t="s">
        <v>82</v>
      </c>
      <c r="V59">
        <v>102459.469344609</v>
      </c>
      <c r="W59">
        <v>4445555</v>
      </c>
      <c r="X59" t="s">
        <v>140</v>
      </c>
      <c r="Y59">
        <v>25</v>
      </c>
    </row>
    <row r="60" spans="1:25" x14ac:dyDescent="0.25">
      <c r="A60">
        <f t="shared" si="3"/>
        <v>1083</v>
      </c>
      <c r="B60" t="s">
        <v>84</v>
      </c>
      <c r="C60" t="s">
        <v>351</v>
      </c>
      <c r="D60" t="s">
        <v>376</v>
      </c>
      <c r="E60">
        <v>105</v>
      </c>
      <c r="F60">
        <v>4.41</v>
      </c>
      <c r="G60">
        <v>3</v>
      </c>
      <c r="H60">
        <f t="shared" si="0"/>
        <v>315</v>
      </c>
      <c r="I60">
        <f t="shared" si="1"/>
        <v>13.23</v>
      </c>
      <c r="J60">
        <f t="shared" si="2"/>
        <v>301.77</v>
      </c>
      <c r="K60" t="s">
        <v>312</v>
      </c>
      <c r="L60" t="s">
        <v>469</v>
      </c>
      <c r="M60" s="1" t="s">
        <v>443</v>
      </c>
      <c r="N60" t="s">
        <v>17</v>
      </c>
      <c r="O60" t="s">
        <v>27</v>
      </c>
      <c r="P60" t="s">
        <v>67</v>
      </c>
      <c r="Q60">
        <v>255</v>
      </c>
      <c r="R60">
        <v>4</v>
      </c>
      <c r="S60" t="s">
        <v>29</v>
      </c>
      <c r="T60" t="s">
        <v>508</v>
      </c>
      <c r="U60" t="s">
        <v>88</v>
      </c>
      <c r="V60">
        <v>103852.6205074</v>
      </c>
      <c r="W60">
        <v>5556666</v>
      </c>
      <c r="X60" t="s">
        <v>145</v>
      </c>
      <c r="Y60">
        <v>20</v>
      </c>
    </row>
    <row r="61" spans="1:25" x14ac:dyDescent="0.25">
      <c r="A61">
        <f t="shared" si="3"/>
        <v>1084</v>
      </c>
      <c r="B61" t="s">
        <v>91</v>
      </c>
      <c r="C61" t="s">
        <v>353</v>
      </c>
      <c r="D61" t="s">
        <v>379</v>
      </c>
      <c r="E61">
        <v>115</v>
      </c>
      <c r="F61">
        <v>6.44</v>
      </c>
      <c r="G61">
        <v>1</v>
      </c>
      <c r="H61">
        <f t="shared" si="0"/>
        <v>115</v>
      </c>
      <c r="I61">
        <f t="shared" si="1"/>
        <v>6.44</v>
      </c>
      <c r="J61">
        <f t="shared" si="2"/>
        <v>108.56</v>
      </c>
      <c r="K61" t="s">
        <v>345</v>
      </c>
      <c r="L61" t="s">
        <v>470</v>
      </c>
      <c r="M61" s="1" t="s">
        <v>437</v>
      </c>
      <c r="N61" t="s">
        <v>26</v>
      </c>
      <c r="O61" t="s">
        <v>37</v>
      </c>
      <c r="P61" t="s">
        <v>28</v>
      </c>
      <c r="Q61">
        <v>205</v>
      </c>
      <c r="R61">
        <v>3</v>
      </c>
      <c r="S61" t="s">
        <v>61</v>
      </c>
      <c r="T61" t="s">
        <v>509</v>
      </c>
      <c r="U61" t="s">
        <v>94</v>
      </c>
      <c r="V61">
        <v>105245.77167019001</v>
      </c>
      <c r="W61">
        <v>6667777</v>
      </c>
      <c r="X61" t="s">
        <v>150</v>
      </c>
      <c r="Y61">
        <v>18</v>
      </c>
    </row>
    <row r="62" spans="1:25" x14ac:dyDescent="0.25">
      <c r="A62">
        <f t="shared" si="3"/>
        <v>1085</v>
      </c>
      <c r="B62" t="s">
        <v>96</v>
      </c>
      <c r="C62" t="s">
        <v>355</v>
      </c>
      <c r="D62" t="s">
        <v>381</v>
      </c>
      <c r="E62">
        <v>46</v>
      </c>
      <c r="F62">
        <v>16.45</v>
      </c>
      <c r="G62">
        <v>5</v>
      </c>
      <c r="H62">
        <f t="shared" si="0"/>
        <v>230</v>
      </c>
      <c r="I62">
        <f t="shared" si="1"/>
        <v>82.25</v>
      </c>
      <c r="J62">
        <f t="shared" si="2"/>
        <v>147.75</v>
      </c>
      <c r="K62" t="s">
        <v>315</v>
      </c>
      <c r="L62" t="s">
        <v>471</v>
      </c>
      <c r="M62" s="1" t="s">
        <v>444</v>
      </c>
      <c r="N62" t="s">
        <v>36</v>
      </c>
      <c r="O62" t="s">
        <v>18</v>
      </c>
      <c r="P62" t="s">
        <v>73</v>
      </c>
      <c r="Q62">
        <v>320</v>
      </c>
      <c r="R62">
        <v>3</v>
      </c>
      <c r="S62" t="s">
        <v>20</v>
      </c>
      <c r="T62" t="s">
        <v>510</v>
      </c>
      <c r="U62" t="s">
        <v>99</v>
      </c>
      <c r="V62">
        <v>106638.922832981</v>
      </c>
      <c r="W62">
        <v>7778888</v>
      </c>
      <c r="X62" t="s">
        <v>155</v>
      </c>
      <c r="Y62">
        <v>28</v>
      </c>
    </row>
    <row r="63" spans="1:25" x14ac:dyDescent="0.25">
      <c r="A63">
        <f t="shared" si="3"/>
        <v>1086</v>
      </c>
      <c r="B63" t="s">
        <v>101</v>
      </c>
      <c r="C63" t="s">
        <v>357</v>
      </c>
      <c r="D63" t="s">
        <v>383</v>
      </c>
      <c r="E63">
        <v>290</v>
      </c>
      <c r="F63">
        <v>7.7</v>
      </c>
      <c r="G63">
        <v>4</v>
      </c>
      <c r="H63">
        <f t="shared" si="0"/>
        <v>1160</v>
      </c>
      <c r="I63">
        <f t="shared" si="1"/>
        <v>30.8</v>
      </c>
      <c r="J63">
        <f t="shared" si="2"/>
        <v>1129.2</v>
      </c>
      <c r="K63" t="s">
        <v>378</v>
      </c>
      <c r="L63" t="s">
        <v>472</v>
      </c>
      <c r="M63" s="1" t="s">
        <v>438</v>
      </c>
      <c r="N63" t="s">
        <v>86</v>
      </c>
      <c r="O63" t="s">
        <v>27</v>
      </c>
      <c r="P63" t="s">
        <v>67</v>
      </c>
      <c r="Q63">
        <v>375</v>
      </c>
      <c r="R63">
        <v>2</v>
      </c>
      <c r="S63" t="s">
        <v>29</v>
      </c>
      <c r="T63" t="s">
        <v>511</v>
      </c>
      <c r="U63" t="s">
        <v>104</v>
      </c>
      <c r="V63">
        <v>108032.07399577201</v>
      </c>
      <c r="W63">
        <v>8889999</v>
      </c>
      <c r="X63" t="s">
        <v>160</v>
      </c>
      <c r="Y63">
        <v>24</v>
      </c>
    </row>
    <row r="64" spans="1:25" x14ac:dyDescent="0.25">
      <c r="A64">
        <f t="shared" si="3"/>
        <v>1087</v>
      </c>
      <c r="B64" t="s">
        <v>106</v>
      </c>
      <c r="C64" t="s">
        <v>359</v>
      </c>
      <c r="D64" t="s">
        <v>385</v>
      </c>
      <c r="E64">
        <v>22</v>
      </c>
      <c r="F64">
        <v>3.36</v>
      </c>
      <c r="G64">
        <v>5</v>
      </c>
      <c r="H64">
        <f t="shared" si="0"/>
        <v>110</v>
      </c>
      <c r="I64">
        <f t="shared" si="1"/>
        <v>16.8</v>
      </c>
      <c r="J64">
        <f t="shared" si="2"/>
        <v>93.2</v>
      </c>
      <c r="K64" t="s">
        <v>318</v>
      </c>
      <c r="L64" t="s">
        <v>473</v>
      </c>
      <c r="M64" s="1" t="s">
        <v>445</v>
      </c>
      <c r="N64" t="s">
        <v>52</v>
      </c>
      <c r="O64" t="s">
        <v>37</v>
      </c>
      <c r="P64" t="s">
        <v>28</v>
      </c>
      <c r="Q64">
        <v>295</v>
      </c>
      <c r="R64">
        <v>3</v>
      </c>
      <c r="S64" t="s">
        <v>46</v>
      </c>
      <c r="T64" t="s">
        <v>512</v>
      </c>
      <c r="U64" t="s">
        <v>109</v>
      </c>
      <c r="V64">
        <v>109425.225158562</v>
      </c>
      <c r="W64">
        <v>9990000</v>
      </c>
      <c r="X64" t="s">
        <v>165</v>
      </c>
      <c r="Y64">
        <v>30</v>
      </c>
    </row>
    <row r="65" spans="1:25" x14ac:dyDescent="0.25">
      <c r="A65">
        <f t="shared" si="3"/>
        <v>1088</v>
      </c>
      <c r="B65" t="s">
        <v>111</v>
      </c>
      <c r="C65" t="s">
        <v>362</v>
      </c>
      <c r="D65" t="s">
        <v>387</v>
      </c>
      <c r="E65">
        <v>63</v>
      </c>
      <c r="F65">
        <v>6.16</v>
      </c>
      <c r="G65">
        <v>4</v>
      </c>
      <c r="H65">
        <f t="shared" si="0"/>
        <v>252</v>
      </c>
      <c r="I65">
        <f t="shared" si="1"/>
        <v>24.64</v>
      </c>
      <c r="J65">
        <f t="shared" si="2"/>
        <v>227.36</v>
      </c>
      <c r="K65" t="s">
        <v>397</v>
      </c>
      <c r="L65" t="s">
        <v>474</v>
      </c>
      <c r="M65" s="1" t="s">
        <v>446</v>
      </c>
      <c r="N65" t="s">
        <v>59</v>
      </c>
      <c r="O65" t="s">
        <v>27</v>
      </c>
      <c r="P65" t="s">
        <v>53</v>
      </c>
      <c r="Q65">
        <v>310</v>
      </c>
      <c r="R65">
        <v>1</v>
      </c>
      <c r="S65" t="s">
        <v>61</v>
      </c>
      <c r="T65" t="s">
        <v>513</v>
      </c>
      <c r="U65" t="s">
        <v>114</v>
      </c>
      <c r="V65">
        <v>110818.376321353</v>
      </c>
      <c r="W65">
        <v>1497911</v>
      </c>
      <c r="X65" t="s">
        <v>170</v>
      </c>
      <c r="Y65">
        <v>28</v>
      </c>
    </row>
    <row r="66" spans="1:25" x14ac:dyDescent="0.25">
      <c r="A66">
        <f t="shared" si="3"/>
        <v>1089</v>
      </c>
      <c r="B66" t="s">
        <v>116</v>
      </c>
      <c r="C66" t="s">
        <v>364</v>
      </c>
      <c r="D66" t="s">
        <v>389</v>
      </c>
      <c r="E66">
        <v>92</v>
      </c>
      <c r="F66">
        <v>14.7</v>
      </c>
      <c r="G66">
        <v>2</v>
      </c>
      <c r="H66">
        <f t="shared" si="0"/>
        <v>184</v>
      </c>
      <c r="I66">
        <f t="shared" si="1"/>
        <v>29.4</v>
      </c>
      <c r="J66">
        <f t="shared" si="2"/>
        <v>154.6</v>
      </c>
      <c r="K66" t="s">
        <v>345</v>
      </c>
      <c r="L66" t="s">
        <v>475</v>
      </c>
      <c r="M66" s="1" t="s">
        <v>447</v>
      </c>
      <c r="N66" t="s">
        <v>86</v>
      </c>
      <c r="O66" t="s">
        <v>18</v>
      </c>
      <c r="P66" t="s">
        <v>67</v>
      </c>
      <c r="Q66">
        <v>210</v>
      </c>
      <c r="R66">
        <v>4</v>
      </c>
      <c r="S66" t="s">
        <v>20</v>
      </c>
      <c r="T66" t="s">
        <v>514</v>
      </c>
      <c r="U66" t="s">
        <v>119</v>
      </c>
      <c r="V66">
        <v>112211.527484144</v>
      </c>
      <c r="W66">
        <v>1122334</v>
      </c>
      <c r="X66" t="s">
        <v>175</v>
      </c>
      <c r="Y66">
        <v>50</v>
      </c>
    </row>
    <row r="67" spans="1:25" x14ac:dyDescent="0.25">
      <c r="A67">
        <f t="shared" si="3"/>
        <v>1090</v>
      </c>
      <c r="B67" t="s">
        <v>121</v>
      </c>
      <c r="C67" t="s">
        <v>366</v>
      </c>
      <c r="D67" t="s">
        <v>391</v>
      </c>
      <c r="E67">
        <v>235</v>
      </c>
      <c r="F67">
        <v>4.9000000000000004</v>
      </c>
      <c r="G67">
        <v>1</v>
      </c>
      <c r="H67">
        <f t="shared" ref="H67:H94" si="4">E67*G67</f>
        <v>235</v>
      </c>
      <c r="I67">
        <f t="shared" ref="I67:I94" si="5">F67*G67</f>
        <v>4.9000000000000004</v>
      </c>
      <c r="J67">
        <f t="shared" ref="J67:J94" si="6">H67-I67</f>
        <v>230.1</v>
      </c>
      <c r="K67" t="s">
        <v>402</v>
      </c>
      <c r="L67" t="s">
        <v>476</v>
      </c>
      <c r="M67" s="1" t="s">
        <v>445</v>
      </c>
      <c r="N67" t="s">
        <v>17</v>
      </c>
      <c r="O67" t="s">
        <v>44</v>
      </c>
      <c r="P67" t="s">
        <v>19</v>
      </c>
      <c r="Q67">
        <v>170</v>
      </c>
      <c r="R67">
        <v>1</v>
      </c>
      <c r="S67" t="s">
        <v>29</v>
      </c>
      <c r="T67" t="s">
        <v>515</v>
      </c>
      <c r="U67" t="s">
        <v>124</v>
      </c>
      <c r="V67">
        <v>113604.678646934</v>
      </c>
      <c r="W67">
        <v>2233445</v>
      </c>
      <c r="X67" t="s">
        <v>180</v>
      </c>
      <c r="Y67">
        <v>45</v>
      </c>
    </row>
    <row r="68" spans="1:25" x14ac:dyDescent="0.25">
      <c r="A68">
        <f t="shared" si="3"/>
        <v>1091</v>
      </c>
      <c r="B68" t="s">
        <v>126</v>
      </c>
      <c r="C68" t="s">
        <v>368</v>
      </c>
      <c r="D68" t="s">
        <v>393</v>
      </c>
      <c r="E68">
        <v>110</v>
      </c>
      <c r="F68">
        <v>8.4</v>
      </c>
      <c r="G68">
        <v>3</v>
      </c>
      <c r="H68">
        <f t="shared" si="4"/>
        <v>330</v>
      </c>
      <c r="I68">
        <f t="shared" si="5"/>
        <v>25.200000000000003</v>
      </c>
      <c r="J68">
        <f t="shared" si="6"/>
        <v>304.8</v>
      </c>
      <c r="K68" t="s">
        <v>323</v>
      </c>
      <c r="L68" t="s">
        <v>477</v>
      </c>
      <c r="M68" s="1" t="s">
        <v>448</v>
      </c>
      <c r="N68" t="s">
        <v>26</v>
      </c>
      <c r="O68" t="s">
        <v>27</v>
      </c>
      <c r="P68" t="s">
        <v>67</v>
      </c>
      <c r="Q68">
        <v>265</v>
      </c>
      <c r="R68">
        <v>5</v>
      </c>
      <c r="S68" t="s">
        <v>46</v>
      </c>
      <c r="T68" t="s">
        <v>516</v>
      </c>
      <c r="U68" t="s">
        <v>129</v>
      </c>
      <c r="V68">
        <v>114997.82980972499</v>
      </c>
      <c r="W68">
        <v>3344556</v>
      </c>
      <c r="X68" t="s">
        <v>185</v>
      </c>
      <c r="Y68">
        <v>18</v>
      </c>
    </row>
    <row r="69" spans="1:25" x14ac:dyDescent="0.25">
      <c r="A69">
        <f t="shared" si="3"/>
        <v>1092</v>
      </c>
      <c r="B69" t="s">
        <v>131</v>
      </c>
      <c r="C69" t="s">
        <v>370</v>
      </c>
      <c r="D69" t="s">
        <v>395</v>
      </c>
      <c r="E69">
        <v>290</v>
      </c>
      <c r="F69">
        <v>7.35</v>
      </c>
      <c r="G69">
        <v>2</v>
      </c>
      <c r="H69">
        <f t="shared" si="4"/>
        <v>580</v>
      </c>
      <c r="I69">
        <f t="shared" si="5"/>
        <v>14.7</v>
      </c>
      <c r="J69">
        <f t="shared" si="6"/>
        <v>565.29999999999995</v>
      </c>
      <c r="K69" t="s">
        <v>315</v>
      </c>
      <c r="L69" t="s">
        <v>478</v>
      </c>
      <c r="M69" s="1" t="s">
        <v>449</v>
      </c>
      <c r="N69" t="s">
        <v>36</v>
      </c>
      <c r="O69" t="s">
        <v>37</v>
      </c>
      <c r="P69" t="s">
        <v>53</v>
      </c>
      <c r="Q69">
        <v>220</v>
      </c>
      <c r="R69">
        <v>2</v>
      </c>
      <c r="S69" t="s">
        <v>20</v>
      </c>
      <c r="T69" t="s">
        <v>517</v>
      </c>
      <c r="U69" t="s">
        <v>134</v>
      </c>
      <c r="V69">
        <v>116390.980972516</v>
      </c>
      <c r="W69">
        <v>4455667</v>
      </c>
      <c r="X69" t="s">
        <v>190</v>
      </c>
      <c r="Y69">
        <v>30</v>
      </c>
    </row>
    <row r="70" spans="1:25" x14ac:dyDescent="0.25">
      <c r="A70">
        <f t="shared" si="3"/>
        <v>1093</v>
      </c>
      <c r="B70" t="s">
        <v>136</v>
      </c>
      <c r="C70" t="s">
        <v>372</v>
      </c>
      <c r="D70" t="s">
        <v>398</v>
      </c>
      <c r="E70">
        <v>22</v>
      </c>
      <c r="F70">
        <v>8.0500000000000007</v>
      </c>
      <c r="G70">
        <v>6</v>
      </c>
      <c r="H70">
        <f t="shared" si="4"/>
        <v>132</v>
      </c>
      <c r="I70">
        <f t="shared" si="5"/>
        <v>48.300000000000004</v>
      </c>
      <c r="J70">
        <f t="shared" si="6"/>
        <v>83.699999999999989</v>
      </c>
      <c r="K70" t="s">
        <v>412</v>
      </c>
      <c r="L70" t="s">
        <v>479</v>
      </c>
      <c r="M70" s="1" t="s">
        <v>438</v>
      </c>
      <c r="N70" t="s">
        <v>52</v>
      </c>
      <c r="O70" t="s">
        <v>44</v>
      </c>
      <c r="P70" t="s">
        <v>28</v>
      </c>
      <c r="Q70">
        <v>390</v>
      </c>
      <c r="R70">
        <v>4</v>
      </c>
      <c r="S70" t="s">
        <v>61</v>
      </c>
      <c r="T70" t="s">
        <v>518</v>
      </c>
      <c r="U70" t="s">
        <v>139</v>
      </c>
      <c r="V70">
        <v>117784.13213530699</v>
      </c>
      <c r="W70">
        <v>5566778</v>
      </c>
      <c r="X70" t="s">
        <v>195</v>
      </c>
      <c r="Y70">
        <v>8</v>
      </c>
    </row>
    <row r="71" spans="1:25" x14ac:dyDescent="0.25">
      <c r="A71">
        <f t="shared" si="3"/>
        <v>1094</v>
      </c>
      <c r="B71" t="s">
        <v>141</v>
      </c>
      <c r="C71" t="s">
        <v>375</v>
      </c>
      <c r="D71" t="s">
        <v>400</v>
      </c>
      <c r="E71">
        <v>63</v>
      </c>
      <c r="F71">
        <v>3.22</v>
      </c>
      <c r="G71">
        <v>1</v>
      </c>
      <c r="H71">
        <f t="shared" si="4"/>
        <v>63</v>
      </c>
      <c r="I71">
        <f t="shared" si="5"/>
        <v>3.22</v>
      </c>
      <c r="J71">
        <f t="shared" si="6"/>
        <v>59.78</v>
      </c>
      <c r="K71" t="s">
        <v>345</v>
      </c>
      <c r="L71" t="s">
        <v>480</v>
      </c>
      <c r="M71" s="1" t="s">
        <v>450</v>
      </c>
      <c r="N71" t="s">
        <v>59</v>
      </c>
      <c r="O71" t="s">
        <v>18</v>
      </c>
      <c r="P71" t="s">
        <v>67</v>
      </c>
      <c r="Q71">
        <v>310</v>
      </c>
      <c r="R71">
        <v>1</v>
      </c>
      <c r="S71" t="s">
        <v>29</v>
      </c>
      <c r="T71" t="s">
        <v>519</v>
      </c>
      <c r="U71" t="s">
        <v>144</v>
      </c>
      <c r="V71">
        <v>119177.283298097</v>
      </c>
      <c r="W71">
        <v>6677889</v>
      </c>
      <c r="X71" t="s">
        <v>200</v>
      </c>
      <c r="Y71">
        <v>15</v>
      </c>
    </row>
    <row r="72" spans="1:25" x14ac:dyDescent="0.25">
      <c r="A72">
        <f t="shared" si="3"/>
        <v>1095</v>
      </c>
      <c r="B72" t="s">
        <v>146</v>
      </c>
      <c r="C72" t="s">
        <v>377</v>
      </c>
      <c r="D72" t="s">
        <v>403</v>
      </c>
      <c r="E72">
        <v>92</v>
      </c>
      <c r="F72">
        <v>20.3</v>
      </c>
      <c r="G72">
        <v>4</v>
      </c>
      <c r="H72">
        <f t="shared" si="4"/>
        <v>368</v>
      </c>
      <c r="I72">
        <f t="shared" si="5"/>
        <v>81.2</v>
      </c>
      <c r="J72">
        <f t="shared" si="6"/>
        <v>286.8</v>
      </c>
      <c r="K72" t="s">
        <v>323</v>
      </c>
      <c r="L72" t="s">
        <v>481</v>
      </c>
      <c r="M72" s="1" t="s">
        <v>449</v>
      </c>
      <c r="N72" t="s">
        <v>86</v>
      </c>
      <c r="O72" t="s">
        <v>27</v>
      </c>
      <c r="P72" t="s">
        <v>73</v>
      </c>
      <c r="Q72">
        <v>215</v>
      </c>
      <c r="R72">
        <v>5</v>
      </c>
      <c r="S72" t="s">
        <v>46</v>
      </c>
      <c r="T72" t="s">
        <v>520</v>
      </c>
      <c r="U72" t="s">
        <v>149</v>
      </c>
      <c r="V72">
        <v>120570.43446088801</v>
      </c>
      <c r="W72">
        <v>7788990</v>
      </c>
      <c r="X72" t="s">
        <v>205</v>
      </c>
      <c r="Y72">
        <v>20</v>
      </c>
    </row>
    <row r="73" spans="1:25" x14ac:dyDescent="0.25">
      <c r="A73">
        <f t="shared" si="3"/>
        <v>1096</v>
      </c>
      <c r="B73" t="s">
        <v>151</v>
      </c>
      <c r="C73" t="s">
        <v>380</v>
      </c>
      <c r="D73" t="s">
        <v>408</v>
      </c>
      <c r="E73">
        <v>235</v>
      </c>
      <c r="F73">
        <v>15.4</v>
      </c>
      <c r="G73">
        <v>2</v>
      </c>
      <c r="H73">
        <f t="shared" si="4"/>
        <v>470</v>
      </c>
      <c r="I73">
        <f t="shared" si="5"/>
        <v>30.8</v>
      </c>
      <c r="J73">
        <f t="shared" si="6"/>
        <v>439.2</v>
      </c>
      <c r="K73" t="s">
        <v>318</v>
      </c>
      <c r="L73" t="s">
        <v>482</v>
      </c>
      <c r="M73" s="1" t="s">
        <v>442</v>
      </c>
      <c r="N73" t="s">
        <v>17</v>
      </c>
      <c r="O73" t="s">
        <v>37</v>
      </c>
      <c r="P73" t="s">
        <v>19</v>
      </c>
      <c r="Q73">
        <v>295</v>
      </c>
      <c r="R73">
        <v>3</v>
      </c>
      <c r="S73" t="s">
        <v>20</v>
      </c>
      <c r="T73" t="s">
        <v>521</v>
      </c>
      <c r="U73" t="s">
        <v>154</v>
      </c>
      <c r="V73">
        <v>121963.585623679</v>
      </c>
      <c r="W73">
        <v>8899001</v>
      </c>
      <c r="X73" t="s">
        <v>210</v>
      </c>
      <c r="Y73">
        <v>28</v>
      </c>
    </row>
    <row r="74" spans="1:25" x14ac:dyDescent="0.25">
      <c r="A74">
        <f t="shared" si="3"/>
        <v>1097</v>
      </c>
      <c r="B74" t="s">
        <v>156</v>
      </c>
      <c r="C74" t="s">
        <v>382</v>
      </c>
      <c r="D74" t="s">
        <v>410</v>
      </c>
      <c r="E74">
        <v>110</v>
      </c>
      <c r="F74">
        <v>7</v>
      </c>
      <c r="G74">
        <v>1</v>
      </c>
      <c r="H74">
        <f t="shared" si="4"/>
        <v>110</v>
      </c>
      <c r="I74">
        <f t="shared" si="5"/>
        <v>7</v>
      </c>
      <c r="J74">
        <f t="shared" si="6"/>
        <v>103</v>
      </c>
      <c r="K74" t="s">
        <v>373</v>
      </c>
      <c r="L74" t="s">
        <v>483</v>
      </c>
      <c r="M74" s="1" t="s">
        <v>438</v>
      </c>
      <c r="N74" t="s">
        <v>36</v>
      </c>
      <c r="O74" t="s">
        <v>18</v>
      </c>
      <c r="P74" t="s">
        <v>67</v>
      </c>
      <c r="Q74">
        <v>240</v>
      </c>
      <c r="R74">
        <v>2</v>
      </c>
      <c r="S74" t="s">
        <v>29</v>
      </c>
      <c r="T74" t="s">
        <v>522</v>
      </c>
      <c r="U74" t="s">
        <v>159</v>
      </c>
      <c r="V74">
        <v>123356.736786469</v>
      </c>
      <c r="W74">
        <v>9900112</v>
      </c>
      <c r="X74" t="s">
        <v>215</v>
      </c>
      <c r="Y74">
        <v>22</v>
      </c>
    </row>
    <row r="75" spans="1:25" x14ac:dyDescent="0.25">
      <c r="A75">
        <f t="shared" si="3"/>
        <v>1098</v>
      </c>
      <c r="B75" t="s">
        <v>161</v>
      </c>
      <c r="C75" t="s">
        <v>384</v>
      </c>
      <c r="D75" t="s">
        <v>413</v>
      </c>
      <c r="E75">
        <v>205</v>
      </c>
      <c r="F75">
        <v>13.65</v>
      </c>
      <c r="G75">
        <v>3</v>
      </c>
      <c r="H75">
        <f t="shared" si="4"/>
        <v>615</v>
      </c>
      <c r="I75">
        <f t="shared" si="5"/>
        <v>40.950000000000003</v>
      </c>
      <c r="J75">
        <f t="shared" si="6"/>
        <v>574.04999999999995</v>
      </c>
      <c r="K75" t="s">
        <v>318</v>
      </c>
      <c r="L75" t="s">
        <v>484</v>
      </c>
      <c r="M75" s="1" t="s">
        <v>450</v>
      </c>
      <c r="N75" t="s">
        <v>52</v>
      </c>
      <c r="O75" t="s">
        <v>27</v>
      </c>
      <c r="P75" t="s">
        <v>73</v>
      </c>
      <c r="Q75">
        <v>120</v>
      </c>
      <c r="R75">
        <v>2</v>
      </c>
      <c r="S75" t="s">
        <v>20</v>
      </c>
      <c r="T75" t="s">
        <v>523</v>
      </c>
      <c r="U75" t="s">
        <v>164</v>
      </c>
      <c r="V75">
        <v>124749.88794926</v>
      </c>
      <c r="W75">
        <v>-16839551.031620599</v>
      </c>
      <c r="X75" t="s">
        <v>220</v>
      </c>
      <c r="Y75">
        <v>60</v>
      </c>
    </row>
    <row r="76" spans="1:25" x14ac:dyDescent="0.25">
      <c r="A76">
        <f t="shared" si="3"/>
        <v>1099</v>
      </c>
      <c r="B76" t="s">
        <v>166</v>
      </c>
      <c r="C76" t="s">
        <v>386</v>
      </c>
      <c r="D76" t="s">
        <v>415</v>
      </c>
      <c r="E76">
        <v>29</v>
      </c>
      <c r="F76">
        <v>1.68</v>
      </c>
      <c r="G76">
        <v>2</v>
      </c>
      <c r="H76">
        <f t="shared" si="4"/>
        <v>58</v>
      </c>
      <c r="I76">
        <f t="shared" si="5"/>
        <v>3.36</v>
      </c>
      <c r="J76">
        <f t="shared" si="6"/>
        <v>54.64</v>
      </c>
      <c r="K76" t="s">
        <v>332</v>
      </c>
      <c r="L76" t="s">
        <v>485</v>
      </c>
      <c r="M76" s="1" t="s">
        <v>444</v>
      </c>
      <c r="N76" t="s">
        <v>26</v>
      </c>
      <c r="O76" t="s">
        <v>37</v>
      </c>
      <c r="P76" t="s">
        <v>28</v>
      </c>
      <c r="Q76">
        <v>180</v>
      </c>
      <c r="R76">
        <v>5</v>
      </c>
      <c r="S76" t="s">
        <v>46</v>
      </c>
      <c r="T76" t="s">
        <v>524</v>
      </c>
      <c r="U76" t="s">
        <v>169</v>
      </c>
      <c r="V76">
        <v>126143.039112051</v>
      </c>
      <c r="W76">
        <v>-19935431.063241102</v>
      </c>
      <c r="X76" t="s">
        <v>225</v>
      </c>
      <c r="Y76">
        <v>35</v>
      </c>
    </row>
    <row r="77" spans="1:25" x14ac:dyDescent="0.25">
      <c r="A77">
        <f t="shared" si="3"/>
        <v>1100</v>
      </c>
      <c r="B77" t="s">
        <v>171</v>
      </c>
      <c r="C77" t="s">
        <v>390</v>
      </c>
      <c r="D77" t="s">
        <v>417</v>
      </c>
      <c r="E77">
        <v>325</v>
      </c>
      <c r="F77">
        <v>21.7</v>
      </c>
      <c r="G77">
        <v>1</v>
      </c>
      <c r="H77">
        <f t="shared" si="4"/>
        <v>325</v>
      </c>
      <c r="I77">
        <f t="shared" si="5"/>
        <v>21.7</v>
      </c>
      <c r="J77">
        <f t="shared" si="6"/>
        <v>303.3</v>
      </c>
      <c r="K77" t="s">
        <v>412</v>
      </c>
      <c r="L77" t="s">
        <v>486</v>
      </c>
      <c r="M77" s="1" t="s">
        <v>441</v>
      </c>
      <c r="N77" t="s">
        <v>86</v>
      </c>
      <c r="O77" t="s">
        <v>27</v>
      </c>
      <c r="P77" t="s">
        <v>73</v>
      </c>
      <c r="Q77">
        <v>260</v>
      </c>
      <c r="R77">
        <v>2</v>
      </c>
      <c r="S77" t="s">
        <v>20</v>
      </c>
      <c r="T77" t="s">
        <v>525</v>
      </c>
      <c r="U77" t="s">
        <v>174</v>
      </c>
      <c r="V77">
        <v>127536.19027484101</v>
      </c>
      <c r="W77">
        <v>-23031311.094861701</v>
      </c>
      <c r="X77" t="s">
        <v>230</v>
      </c>
      <c r="Y77">
        <v>18</v>
      </c>
    </row>
    <row r="78" spans="1:25" x14ac:dyDescent="0.25">
      <c r="A78">
        <f t="shared" si="3"/>
        <v>1101</v>
      </c>
      <c r="B78" t="s">
        <v>176</v>
      </c>
      <c r="C78" t="s">
        <v>392</v>
      </c>
      <c r="D78" t="s">
        <v>419</v>
      </c>
      <c r="E78">
        <v>57</v>
      </c>
      <c r="F78">
        <v>3.64</v>
      </c>
      <c r="G78">
        <v>2</v>
      </c>
      <c r="H78">
        <f t="shared" si="4"/>
        <v>114</v>
      </c>
      <c r="I78">
        <f t="shared" si="5"/>
        <v>7.28</v>
      </c>
      <c r="J78">
        <f t="shared" si="6"/>
        <v>106.72</v>
      </c>
      <c r="K78" t="s">
        <v>345</v>
      </c>
      <c r="L78" t="s">
        <v>487</v>
      </c>
      <c r="M78" s="1" t="s">
        <v>437</v>
      </c>
      <c r="N78" t="s">
        <v>59</v>
      </c>
      <c r="O78" t="s">
        <v>18</v>
      </c>
      <c r="P78" t="s">
        <v>19</v>
      </c>
      <c r="Q78">
        <v>300</v>
      </c>
      <c r="R78">
        <v>1</v>
      </c>
      <c r="S78" t="s">
        <v>61</v>
      </c>
      <c r="T78" t="s">
        <v>526</v>
      </c>
      <c r="U78" t="s">
        <v>179</v>
      </c>
      <c r="V78">
        <v>128929.341437632</v>
      </c>
      <c r="W78">
        <v>-26127191.1264823</v>
      </c>
      <c r="X78" t="s">
        <v>235</v>
      </c>
      <c r="Y78">
        <v>40</v>
      </c>
    </row>
    <row r="79" spans="1:25" x14ac:dyDescent="0.25">
      <c r="A79">
        <f t="shared" si="3"/>
        <v>1102</v>
      </c>
      <c r="B79" t="s">
        <v>181</v>
      </c>
      <c r="C79" t="s">
        <v>394</v>
      </c>
      <c r="D79" t="s">
        <v>421</v>
      </c>
      <c r="E79">
        <v>68</v>
      </c>
      <c r="F79">
        <v>4.34</v>
      </c>
      <c r="G79">
        <v>3</v>
      </c>
      <c r="H79">
        <f t="shared" si="4"/>
        <v>204</v>
      </c>
      <c r="I79">
        <f t="shared" si="5"/>
        <v>13.02</v>
      </c>
      <c r="J79">
        <f t="shared" si="6"/>
        <v>190.98</v>
      </c>
      <c r="K79" t="s">
        <v>323</v>
      </c>
      <c r="L79" t="s">
        <v>488</v>
      </c>
      <c r="M79" s="1" t="s">
        <v>450</v>
      </c>
      <c r="N79" t="s">
        <v>17</v>
      </c>
      <c r="O79" t="s">
        <v>44</v>
      </c>
      <c r="P79" t="s">
        <v>53</v>
      </c>
      <c r="Q79">
        <v>250</v>
      </c>
      <c r="R79">
        <v>1</v>
      </c>
      <c r="S79" t="s">
        <v>46</v>
      </c>
      <c r="T79" t="s">
        <v>527</v>
      </c>
      <c r="U79" t="s">
        <v>184</v>
      </c>
      <c r="V79">
        <v>130322.49260042299</v>
      </c>
      <c r="W79">
        <v>-29223071.158102799</v>
      </c>
      <c r="X79" t="s">
        <v>240</v>
      </c>
      <c r="Y79">
        <v>42</v>
      </c>
    </row>
    <row r="80" spans="1:25" x14ac:dyDescent="0.25">
      <c r="A80">
        <f t="shared" si="3"/>
        <v>1103</v>
      </c>
      <c r="B80" t="s">
        <v>186</v>
      </c>
      <c r="C80" t="s">
        <v>396</v>
      </c>
      <c r="D80" t="s">
        <v>423</v>
      </c>
      <c r="E80">
        <v>49</v>
      </c>
      <c r="F80">
        <v>3.08</v>
      </c>
      <c r="G80">
        <v>1</v>
      </c>
      <c r="H80">
        <f t="shared" si="4"/>
        <v>49</v>
      </c>
      <c r="I80">
        <f t="shared" si="5"/>
        <v>3.08</v>
      </c>
      <c r="J80">
        <f t="shared" si="6"/>
        <v>45.92</v>
      </c>
      <c r="K80" t="s">
        <v>318</v>
      </c>
      <c r="L80" t="s">
        <v>489</v>
      </c>
      <c r="M80" s="1" t="s">
        <v>439</v>
      </c>
      <c r="N80" t="s">
        <v>26</v>
      </c>
      <c r="O80" t="s">
        <v>27</v>
      </c>
      <c r="P80" t="s">
        <v>67</v>
      </c>
      <c r="Q80">
        <v>320</v>
      </c>
      <c r="R80">
        <v>4</v>
      </c>
      <c r="S80" t="s">
        <v>20</v>
      </c>
      <c r="T80" t="s">
        <v>528</v>
      </c>
      <c r="U80" t="s">
        <v>189</v>
      </c>
      <c r="V80">
        <v>131715.643763214</v>
      </c>
      <c r="W80">
        <v>-32318951.189723399</v>
      </c>
      <c r="X80" t="s">
        <v>245</v>
      </c>
      <c r="Y80">
        <v>25</v>
      </c>
    </row>
    <row r="81" spans="1:25" x14ac:dyDescent="0.25">
      <c r="A81">
        <f t="shared" si="3"/>
        <v>1104</v>
      </c>
      <c r="B81" t="s">
        <v>191</v>
      </c>
      <c r="C81" t="s">
        <v>399</v>
      </c>
      <c r="D81" t="s">
        <v>425</v>
      </c>
      <c r="E81">
        <v>49</v>
      </c>
      <c r="F81">
        <v>3.36</v>
      </c>
      <c r="G81">
        <v>5</v>
      </c>
      <c r="H81">
        <f t="shared" si="4"/>
        <v>245</v>
      </c>
      <c r="I81">
        <f t="shared" si="5"/>
        <v>16.8</v>
      </c>
      <c r="J81">
        <f t="shared" si="6"/>
        <v>228.2</v>
      </c>
      <c r="K81" t="s">
        <v>360</v>
      </c>
      <c r="L81" t="s">
        <v>490</v>
      </c>
      <c r="M81" s="1" t="s">
        <v>443</v>
      </c>
      <c r="N81" t="s">
        <v>36</v>
      </c>
      <c r="O81" t="s">
        <v>37</v>
      </c>
      <c r="P81" t="s">
        <v>28</v>
      </c>
      <c r="Q81">
        <v>290</v>
      </c>
      <c r="R81">
        <v>4</v>
      </c>
      <c r="S81" t="s">
        <v>29</v>
      </c>
      <c r="T81" t="s">
        <v>529</v>
      </c>
      <c r="U81" t="s">
        <v>194</v>
      </c>
      <c r="V81">
        <v>133108.79492600399</v>
      </c>
      <c r="W81">
        <v>-35414831.221343897</v>
      </c>
      <c r="X81" t="s">
        <v>250</v>
      </c>
      <c r="Y81">
        <v>20</v>
      </c>
    </row>
    <row r="82" spans="1:25" x14ac:dyDescent="0.25">
      <c r="A82">
        <f t="shared" si="3"/>
        <v>1105</v>
      </c>
      <c r="B82" t="s">
        <v>196</v>
      </c>
      <c r="C82" t="s">
        <v>401</v>
      </c>
      <c r="D82" t="s">
        <v>427</v>
      </c>
      <c r="E82">
        <v>22</v>
      </c>
      <c r="F82">
        <v>6.16</v>
      </c>
      <c r="G82">
        <v>4</v>
      </c>
      <c r="H82">
        <f t="shared" si="4"/>
        <v>88</v>
      </c>
      <c r="I82">
        <f t="shared" si="5"/>
        <v>24.64</v>
      </c>
      <c r="J82">
        <f t="shared" si="6"/>
        <v>63.36</v>
      </c>
      <c r="L82" t="s">
        <v>491</v>
      </c>
      <c r="M82" s="1" t="s">
        <v>451</v>
      </c>
      <c r="N82" t="s">
        <v>17</v>
      </c>
      <c r="O82" t="s">
        <v>44</v>
      </c>
      <c r="P82" t="s">
        <v>73</v>
      </c>
      <c r="Q82">
        <v>350</v>
      </c>
      <c r="R82">
        <v>5</v>
      </c>
      <c r="S82" t="s">
        <v>61</v>
      </c>
      <c r="T82" t="s">
        <v>530</v>
      </c>
      <c r="U82" t="s">
        <v>199</v>
      </c>
      <c r="V82">
        <v>134501.946088795</v>
      </c>
      <c r="W82">
        <v>-38510711.252964497</v>
      </c>
      <c r="X82" t="s">
        <v>255</v>
      </c>
      <c r="Y82">
        <v>18</v>
      </c>
    </row>
    <row r="83" spans="1:25" x14ac:dyDescent="0.25">
      <c r="A83">
        <f t="shared" si="3"/>
        <v>1106</v>
      </c>
      <c r="B83" t="s">
        <v>201</v>
      </c>
      <c r="C83" t="s">
        <v>407</v>
      </c>
      <c r="D83" t="s">
        <v>429</v>
      </c>
      <c r="E83">
        <v>63</v>
      </c>
      <c r="F83">
        <v>14.7</v>
      </c>
      <c r="G83">
        <v>2</v>
      </c>
      <c r="H83">
        <f t="shared" si="4"/>
        <v>126</v>
      </c>
      <c r="I83">
        <f t="shared" si="5"/>
        <v>29.4</v>
      </c>
      <c r="J83">
        <f t="shared" si="6"/>
        <v>96.6</v>
      </c>
      <c r="L83" t="s">
        <v>492</v>
      </c>
      <c r="M83" s="1" t="s">
        <v>452</v>
      </c>
      <c r="N83" t="s">
        <v>52</v>
      </c>
      <c r="O83" t="s">
        <v>18</v>
      </c>
      <c r="P83" t="s">
        <v>67</v>
      </c>
      <c r="Q83">
        <v>210</v>
      </c>
      <c r="R83">
        <v>2</v>
      </c>
      <c r="S83" t="s">
        <v>20</v>
      </c>
      <c r="T83" t="s">
        <v>531</v>
      </c>
      <c r="U83" t="s">
        <v>204</v>
      </c>
      <c r="V83">
        <v>135895.097251586</v>
      </c>
      <c r="W83">
        <v>-41606591.284584999</v>
      </c>
      <c r="X83" t="s">
        <v>260</v>
      </c>
      <c r="Y83">
        <v>28</v>
      </c>
    </row>
    <row r="84" spans="1:25" x14ac:dyDescent="0.25">
      <c r="A84">
        <f t="shared" si="3"/>
        <v>1107</v>
      </c>
      <c r="B84" t="s">
        <v>206</v>
      </c>
      <c r="C84" t="s">
        <v>409</v>
      </c>
      <c r="D84" t="s">
        <v>431</v>
      </c>
      <c r="E84">
        <v>92</v>
      </c>
      <c r="F84">
        <v>4.9000000000000004</v>
      </c>
      <c r="G84">
        <v>1</v>
      </c>
      <c r="H84">
        <f t="shared" si="4"/>
        <v>92</v>
      </c>
      <c r="I84">
        <f t="shared" si="5"/>
        <v>4.9000000000000004</v>
      </c>
      <c r="J84">
        <f t="shared" si="6"/>
        <v>87.1</v>
      </c>
      <c r="L84" t="s">
        <v>493</v>
      </c>
      <c r="M84" s="1" t="s">
        <v>453</v>
      </c>
      <c r="N84" t="s">
        <v>59</v>
      </c>
      <c r="O84" t="s">
        <v>27</v>
      </c>
      <c r="P84" t="s">
        <v>28</v>
      </c>
      <c r="Q84">
        <v>280</v>
      </c>
      <c r="R84">
        <v>2</v>
      </c>
      <c r="S84" t="s">
        <v>46</v>
      </c>
      <c r="T84" t="s">
        <v>532</v>
      </c>
      <c r="U84" t="s">
        <v>209</v>
      </c>
      <c r="V84">
        <v>137288.24841437599</v>
      </c>
      <c r="W84">
        <v>-44702471.316205598</v>
      </c>
      <c r="X84" t="s">
        <v>265</v>
      </c>
      <c r="Y84">
        <v>24</v>
      </c>
    </row>
    <row r="85" spans="1:25" x14ac:dyDescent="0.25">
      <c r="A85">
        <f t="shared" si="3"/>
        <v>1108</v>
      </c>
      <c r="B85" t="s">
        <v>211</v>
      </c>
      <c r="C85" t="s">
        <v>411</v>
      </c>
      <c r="D85" t="s">
        <v>433</v>
      </c>
      <c r="E85">
        <v>235</v>
      </c>
      <c r="F85">
        <v>7.7</v>
      </c>
      <c r="G85">
        <v>3</v>
      </c>
      <c r="H85">
        <f t="shared" si="4"/>
        <v>705</v>
      </c>
      <c r="I85">
        <f t="shared" si="5"/>
        <v>23.1</v>
      </c>
      <c r="J85">
        <f t="shared" si="6"/>
        <v>681.9</v>
      </c>
      <c r="L85" t="s">
        <v>494</v>
      </c>
      <c r="M85" s="1" t="s">
        <v>450</v>
      </c>
      <c r="N85" t="s">
        <v>26</v>
      </c>
      <c r="O85" t="s">
        <v>37</v>
      </c>
      <c r="P85" t="s">
        <v>53</v>
      </c>
      <c r="Q85">
        <v>180</v>
      </c>
      <c r="R85">
        <v>5</v>
      </c>
      <c r="S85" t="s">
        <v>29</v>
      </c>
      <c r="T85" t="s">
        <v>533</v>
      </c>
      <c r="U85" t="s">
        <v>214</v>
      </c>
      <c r="V85">
        <v>138681.399577167</v>
      </c>
      <c r="W85">
        <v>-47798351.347825803</v>
      </c>
      <c r="X85" t="s">
        <v>270</v>
      </c>
      <c r="Y85">
        <v>30</v>
      </c>
    </row>
    <row r="86" spans="1:25" x14ac:dyDescent="0.25">
      <c r="A86">
        <f t="shared" si="3"/>
        <v>1109</v>
      </c>
      <c r="B86" t="s">
        <v>216</v>
      </c>
      <c r="C86" t="s">
        <v>414</v>
      </c>
      <c r="D86" t="s">
        <v>435</v>
      </c>
      <c r="E86">
        <v>110</v>
      </c>
      <c r="F86">
        <v>3.36</v>
      </c>
      <c r="G86">
        <v>2</v>
      </c>
      <c r="H86">
        <f t="shared" si="4"/>
        <v>220</v>
      </c>
      <c r="I86">
        <f t="shared" si="5"/>
        <v>6.72</v>
      </c>
      <c r="J86">
        <f t="shared" si="6"/>
        <v>213.28</v>
      </c>
      <c r="L86" t="s">
        <v>495</v>
      </c>
      <c r="M86" s="1" t="s">
        <v>454</v>
      </c>
      <c r="N86" t="s">
        <v>36</v>
      </c>
      <c r="O86" t="s">
        <v>18</v>
      </c>
      <c r="P86" t="s">
        <v>67</v>
      </c>
      <c r="Q86">
        <v>230</v>
      </c>
      <c r="R86">
        <v>2</v>
      </c>
      <c r="S86" t="s">
        <v>61</v>
      </c>
      <c r="T86" t="s">
        <v>534</v>
      </c>
      <c r="U86" t="s">
        <v>219</v>
      </c>
      <c r="V86">
        <v>140074.55073995801</v>
      </c>
      <c r="W86">
        <v>-50894231.379446797</v>
      </c>
      <c r="X86" t="s">
        <v>275</v>
      </c>
      <c r="Y86">
        <v>28</v>
      </c>
    </row>
    <row r="87" spans="1:25" x14ac:dyDescent="0.25">
      <c r="A87">
        <f t="shared" si="3"/>
        <v>1110</v>
      </c>
      <c r="B87" t="s">
        <v>221</v>
      </c>
      <c r="C87" t="s">
        <v>416</v>
      </c>
      <c r="D87" t="s">
        <v>367</v>
      </c>
      <c r="E87">
        <v>290</v>
      </c>
      <c r="F87">
        <v>6.16</v>
      </c>
      <c r="G87">
        <v>6</v>
      </c>
      <c r="H87">
        <f t="shared" si="4"/>
        <v>1740</v>
      </c>
      <c r="I87">
        <f t="shared" si="5"/>
        <v>36.96</v>
      </c>
      <c r="J87">
        <f t="shared" si="6"/>
        <v>1703.04</v>
      </c>
      <c r="L87" t="s">
        <v>496</v>
      </c>
      <c r="M87" s="1" t="s">
        <v>444</v>
      </c>
      <c r="N87" t="s">
        <v>86</v>
      </c>
      <c r="O87" t="s">
        <v>27</v>
      </c>
      <c r="P87" t="s">
        <v>19</v>
      </c>
      <c r="Q87">
        <v>310</v>
      </c>
      <c r="R87">
        <v>1</v>
      </c>
      <c r="S87" t="s">
        <v>20</v>
      </c>
      <c r="T87" t="s">
        <v>535</v>
      </c>
      <c r="U87" t="s">
        <v>224</v>
      </c>
      <c r="V87">
        <v>141467.701902748</v>
      </c>
      <c r="W87">
        <v>-53990111.4110668</v>
      </c>
      <c r="X87" t="s">
        <v>280</v>
      </c>
      <c r="Y87">
        <v>18</v>
      </c>
    </row>
    <row r="88" spans="1:25" x14ac:dyDescent="0.25">
      <c r="A88">
        <f t="shared" si="3"/>
        <v>1111</v>
      </c>
      <c r="B88" t="s">
        <v>226</v>
      </c>
      <c r="C88" t="s">
        <v>418</v>
      </c>
      <c r="D88" t="s">
        <v>369</v>
      </c>
      <c r="E88">
        <v>22</v>
      </c>
      <c r="F88">
        <v>14.7</v>
      </c>
      <c r="G88">
        <v>1</v>
      </c>
      <c r="H88">
        <f t="shared" si="4"/>
        <v>22</v>
      </c>
      <c r="I88">
        <f t="shared" si="5"/>
        <v>14.7</v>
      </c>
      <c r="J88">
        <f t="shared" si="6"/>
        <v>7.3000000000000007</v>
      </c>
      <c r="L88" t="s">
        <v>497</v>
      </c>
      <c r="M88" s="1" t="s">
        <v>455</v>
      </c>
      <c r="N88" t="s">
        <v>17</v>
      </c>
      <c r="O88" t="s">
        <v>37</v>
      </c>
      <c r="P88" t="s">
        <v>67</v>
      </c>
      <c r="Q88">
        <v>210</v>
      </c>
      <c r="R88">
        <v>1</v>
      </c>
      <c r="S88" t="s">
        <v>46</v>
      </c>
      <c r="T88" t="s">
        <v>536</v>
      </c>
      <c r="U88" t="s">
        <v>229</v>
      </c>
      <c r="V88">
        <v>142860.85306553901</v>
      </c>
      <c r="W88">
        <v>-57085991.442687802</v>
      </c>
      <c r="X88" t="s">
        <v>285</v>
      </c>
      <c r="Y88">
        <v>40</v>
      </c>
    </row>
    <row r="89" spans="1:25" x14ac:dyDescent="0.25">
      <c r="A89">
        <f t="shared" si="3"/>
        <v>1112</v>
      </c>
      <c r="B89" t="s">
        <v>231</v>
      </c>
      <c r="C89" t="s">
        <v>420</v>
      </c>
      <c r="D89" t="s">
        <v>371</v>
      </c>
      <c r="E89">
        <v>63</v>
      </c>
      <c r="F89">
        <v>4.9000000000000004</v>
      </c>
      <c r="G89">
        <v>3</v>
      </c>
      <c r="H89">
        <f t="shared" si="4"/>
        <v>189</v>
      </c>
      <c r="I89">
        <f t="shared" si="5"/>
        <v>14.700000000000001</v>
      </c>
      <c r="J89">
        <f t="shared" si="6"/>
        <v>174.3</v>
      </c>
      <c r="L89" t="s">
        <v>498</v>
      </c>
      <c r="M89" s="1" t="s">
        <v>456</v>
      </c>
      <c r="N89" t="s">
        <v>52</v>
      </c>
      <c r="O89" t="s">
        <v>27</v>
      </c>
      <c r="P89" t="s">
        <v>53</v>
      </c>
      <c r="Q89">
        <v>170</v>
      </c>
      <c r="R89">
        <v>4</v>
      </c>
      <c r="S89" t="s">
        <v>61</v>
      </c>
      <c r="T89" t="s">
        <v>537</v>
      </c>
      <c r="U89" t="s">
        <v>234</v>
      </c>
      <c r="V89">
        <v>144254.00422833001</v>
      </c>
      <c r="W89">
        <v>-60181871.474308804</v>
      </c>
      <c r="X89" t="s">
        <v>290</v>
      </c>
      <c r="Y89">
        <v>42</v>
      </c>
    </row>
    <row r="90" spans="1:25" x14ac:dyDescent="0.25">
      <c r="A90">
        <f t="shared" si="3"/>
        <v>1113</v>
      </c>
      <c r="B90" t="s">
        <v>236</v>
      </c>
      <c r="C90" t="s">
        <v>422</v>
      </c>
      <c r="D90" t="s">
        <v>374</v>
      </c>
      <c r="E90">
        <v>92</v>
      </c>
      <c r="F90">
        <v>8.4</v>
      </c>
      <c r="G90">
        <v>4</v>
      </c>
      <c r="H90">
        <f t="shared" si="4"/>
        <v>368</v>
      </c>
      <c r="I90">
        <f t="shared" si="5"/>
        <v>33.6</v>
      </c>
      <c r="J90">
        <f t="shared" si="6"/>
        <v>334.4</v>
      </c>
      <c r="L90" t="s">
        <v>499</v>
      </c>
      <c r="M90" s="1" t="s">
        <v>438</v>
      </c>
      <c r="N90" t="s">
        <v>59</v>
      </c>
      <c r="O90" t="s">
        <v>18</v>
      </c>
      <c r="P90" t="s">
        <v>28</v>
      </c>
      <c r="Q90">
        <v>265</v>
      </c>
      <c r="R90">
        <v>4</v>
      </c>
      <c r="S90" t="s">
        <v>29</v>
      </c>
      <c r="T90" t="s">
        <v>538</v>
      </c>
      <c r="U90" t="s">
        <v>239</v>
      </c>
      <c r="V90">
        <v>145647.15539112</v>
      </c>
      <c r="W90">
        <v>-63277751.5059288</v>
      </c>
      <c r="X90" t="s">
        <v>295</v>
      </c>
      <c r="Y90">
        <v>25</v>
      </c>
    </row>
    <row r="91" spans="1:25" x14ac:dyDescent="0.25">
      <c r="A91">
        <f t="shared" si="3"/>
        <v>1114</v>
      </c>
      <c r="B91" t="s">
        <v>241</v>
      </c>
      <c r="C91" t="s">
        <v>424</v>
      </c>
      <c r="D91" t="s">
        <v>376</v>
      </c>
      <c r="E91">
        <v>129</v>
      </c>
      <c r="F91">
        <v>7.35</v>
      </c>
      <c r="G91">
        <v>2</v>
      </c>
      <c r="H91">
        <f t="shared" si="4"/>
        <v>258</v>
      </c>
      <c r="I91">
        <f t="shared" si="5"/>
        <v>14.7</v>
      </c>
      <c r="J91">
        <f t="shared" si="6"/>
        <v>243.3</v>
      </c>
      <c r="L91" t="s">
        <v>500</v>
      </c>
      <c r="M91" s="1" t="s">
        <v>444</v>
      </c>
      <c r="N91" t="s">
        <v>59</v>
      </c>
      <c r="O91" t="s">
        <v>44</v>
      </c>
      <c r="P91" t="s">
        <v>67</v>
      </c>
      <c r="Q91">
        <v>220</v>
      </c>
      <c r="R91">
        <v>2</v>
      </c>
      <c r="S91" t="s">
        <v>61</v>
      </c>
      <c r="T91" t="s">
        <v>539</v>
      </c>
      <c r="U91" t="s">
        <v>244</v>
      </c>
      <c r="V91">
        <v>147040.30655391101</v>
      </c>
      <c r="W91">
        <v>-66373631.537549801</v>
      </c>
      <c r="X91" t="s">
        <v>300</v>
      </c>
      <c r="Y91">
        <v>20</v>
      </c>
    </row>
    <row r="92" spans="1:25" x14ac:dyDescent="0.25">
      <c r="A92">
        <f t="shared" si="3"/>
        <v>1115</v>
      </c>
      <c r="B92" t="s">
        <v>246</v>
      </c>
      <c r="C92" t="s">
        <v>426</v>
      </c>
      <c r="D92" t="s">
        <v>379</v>
      </c>
      <c r="E92">
        <v>164</v>
      </c>
      <c r="F92">
        <v>8.0500000000000007</v>
      </c>
      <c r="G92">
        <v>3</v>
      </c>
      <c r="H92">
        <f t="shared" si="4"/>
        <v>492</v>
      </c>
      <c r="I92">
        <f t="shared" si="5"/>
        <v>24.150000000000002</v>
      </c>
      <c r="J92">
        <f t="shared" si="6"/>
        <v>467.85</v>
      </c>
      <c r="L92" t="s">
        <v>501</v>
      </c>
      <c r="M92" s="1" t="s">
        <v>437</v>
      </c>
      <c r="N92" t="s">
        <v>59</v>
      </c>
      <c r="O92" t="s">
        <v>27</v>
      </c>
      <c r="P92" t="s">
        <v>73</v>
      </c>
      <c r="Q92">
        <v>390</v>
      </c>
      <c r="R92">
        <v>1</v>
      </c>
      <c r="S92" t="s">
        <v>20</v>
      </c>
      <c r="T92" t="s">
        <v>540</v>
      </c>
      <c r="U92" t="s">
        <v>249</v>
      </c>
      <c r="V92">
        <v>148433.45771670199</v>
      </c>
      <c r="W92">
        <v>-69469511.569169804</v>
      </c>
      <c r="X92" t="s">
        <v>305</v>
      </c>
      <c r="Y92">
        <v>18</v>
      </c>
    </row>
    <row r="93" spans="1:25" x14ac:dyDescent="0.25">
      <c r="A93">
        <f t="shared" si="3"/>
        <v>1116</v>
      </c>
      <c r="B93" t="s">
        <v>251</v>
      </c>
      <c r="C93" t="s">
        <v>428</v>
      </c>
      <c r="D93" t="s">
        <v>381</v>
      </c>
      <c r="E93">
        <v>199</v>
      </c>
      <c r="F93">
        <v>3.22</v>
      </c>
      <c r="G93">
        <v>6</v>
      </c>
      <c r="H93">
        <f t="shared" si="4"/>
        <v>1194</v>
      </c>
      <c r="I93">
        <f t="shared" si="5"/>
        <v>19.32</v>
      </c>
      <c r="J93">
        <f t="shared" si="6"/>
        <v>1174.68</v>
      </c>
      <c r="L93" t="s">
        <v>502</v>
      </c>
      <c r="M93" s="1" t="s">
        <v>443</v>
      </c>
      <c r="N93" t="s">
        <v>59</v>
      </c>
      <c r="O93" t="s">
        <v>37</v>
      </c>
      <c r="P93" t="s">
        <v>19</v>
      </c>
      <c r="Q93">
        <v>310</v>
      </c>
      <c r="R93">
        <v>1</v>
      </c>
      <c r="S93" t="s">
        <v>29</v>
      </c>
      <c r="T93" t="s">
        <v>541</v>
      </c>
      <c r="U93" t="s">
        <v>254</v>
      </c>
      <c r="V93">
        <v>149826.60887949201</v>
      </c>
      <c r="W93">
        <v>-72565391.600790799</v>
      </c>
      <c r="X93" t="s">
        <v>310</v>
      </c>
      <c r="Y93">
        <v>28</v>
      </c>
    </row>
    <row r="94" spans="1:25" x14ac:dyDescent="0.25">
      <c r="A94">
        <f t="shared" si="3"/>
        <v>1117</v>
      </c>
      <c r="B94" t="s">
        <v>256</v>
      </c>
      <c r="C94" t="s">
        <v>430</v>
      </c>
      <c r="D94" t="s">
        <v>383</v>
      </c>
      <c r="E94">
        <v>234</v>
      </c>
      <c r="F94">
        <v>20.3</v>
      </c>
      <c r="G94">
        <v>1</v>
      </c>
      <c r="H94">
        <f t="shared" si="4"/>
        <v>234</v>
      </c>
      <c r="I94">
        <f t="shared" si="5"/>
        <v>20.3</v>
      </c>
      <c r="J94">
        <f t="shared" si="6"/>
        <v>213.7</v>
      </c>
      <c r="L94" t="s">
        <v>503</v>
      </c>
      <c r="M94" s="1" t="s">
        <v>445</v>
      </c>
      <c r="N94" t="s">
        <v>59</v>
      </c>
      <c r="O94" t="s">
        <v>44</v>
      </c>
      <c r="P94" t="s">
        <v>67</v>
      </c>
      <c r="Q94">
        <v>310</v>
      </c>
      <c r="R94">
        <v>1</v>
      </c>
      <c r="S94" t="s">
        <v>46</v>
      </c>
      <c r="T94" t="s">
        <v>542</v>
      </c>
      <c r="U94" t="s">
        <v>259</v>
      </c>
      <c r="V94">
        <v>151219.76004228299</v>
      </c>
      <c r="W94">
        <v>-75661271.632410794</v>
      </c>
      <c r="X94" t="s">
        <v>125</v>
      </c>
      <c r="Y94">
        <v>24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nikos mastorakis</cp:lastModifiedBy>
  <dcterms:created xsi:type="dcterms:W3CDTF">2023-10-14T09:55:00Z</dcterms:created>
  <dcterms:modified xsi:type="dcterms:W3CDTF">2026-03-13T19:21:33Z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